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lperry/Documents/r_projects/web_datascience_website_2026/schedule/"/>
    </mc:Choice>
  </mc:AlternateContent>
  <xr:revisionPtr revIDLastSave="0" documentId="13_ncr:1_{89483890-0802-B549-9C04-476B3CB2389A}" xr6:coauthVersionLast="47" xr6:coauthVersionMax="47" xr10:uidLastSave="{00000000-0000-0000-0000-000000000000}"/>
  <bookViews>
    <workbookView xWindow="35700" yWindow="-8840" windowWidth="20980" windowHeight="27200" xr2:uid="{85A1AE42-D6B2-9944-9D18-E3A7EC306998}"/>
  </bookViews>
  <sheets>
    <sheet name="schedule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8" i="1" l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</calcChain>
</file>

<file path=xl/sharedStrings.xml><?xml version="1.0" encoding="utf-8"?>
<sst xmlns="http://schemas.openxmlformats.org/spreadsheetml/2006/main" count="104" uniqueCount="59">
  <si>
    <t>Week</t>
  </si>
  <si>
    <t>Date</t>
  </si>
  <si>
    <t>Topic</t>
  </si>
  <si>
    <t>Assignment Due</t>
  </si>
  <si>
    <t>Day</t>
  </si>
  <si>
    <t>H</t>
  </si>
  <si>
    <t>T</t>
  </si>
  <si>
    <t>Graded Items</t>
  </si>
  <si>
    <t>Points</t>
  </si>
  <si>
    <t>Final Project</t>
  </si>
  <si>
    <t>Total</t>
  </si>
  <si>
    <t>Project Pitch</t>
  </si>
  <si>
    <t>Project design and graphing</t>
  </si>
  <si>
    <t xml:space="preserve">Intro and data </t>
  </si>
  <si>
    <t>NO CLASS - FALL BREAK</t>
  </si>
  <si>
    <t xml:space="preserve">NO CLASS - Thanksgiving </t>
  </si>
  <si>
    <t>Finals Week</t>
  </si>
  <si>
    <t>GGPlot I</t>
  </si>
  <si>
    <t>GGPlot II</t>
  </si>
  <si>
    <t>Wrangling data</t>
  </si>
  <si>
    <t>Summary Statistics</t>
  </si>
  <si>
    <t>Quarto Markdown files</t>
  </si>
  <si>
    <t>Flex Catchup</t>
  </si>
  <si>
    <t>T Tests I</t>
  </si>
  <si>
    <t>T Tests II</t>
  </si>
  <si>
    <t>Regressions</t>
  </si>
  <si>
    <t>Weather Data - regressions</t>
  </si>
  <si>
    <t>ANOVA I</t>
  </si>
  <si>
    <t>ANOVA II</t>
  </si>
  <si>
    <t>Intro to final Projects - may do 9-24</t>
  </si>
  <si>
    <t>Lake Superior ICE</t>
  </si>
  <si>
    <t>Joins and fishers</t>
  </si>
  <si>
    <t>Mapping and bigfoot</t>
  </si>
  <si>
    <t>Final Project Pitches ------</t>
  </si>
  <si>
    <t>Finding data and examples -----</t>
  </si>
  <si>
    <t>Final Project Presentations - Posters</t>
  </si>
  <si>
    <t>Quiuzzes</t>
  </si>
  <si>
    <t>Intro and data</t>
  </si>
  <si>
    <t>GGPlot</t>
  </si>
  <si>
    <t>wrangling</t>
  </si>
  <si>
    <t>Quarto Markdown</t>
  </si>
  <si>
    <t>T Tests</t>
  </si>
  <si>
    <t>Weather Data</t>
  </si>
  <si>
    <t>Anova</t>
  </si>
  <si>
    <t xml:space="preserve">Lake Superior Ice </t>
  </si>
  <si>
    <t>Joins</t>
  </si>
  <si>
    <t>Final Projects</t>
  </si>
  <si>
    <t>Working on Final Projects - Help sessions</t>
  </si>
  <si>
    <t>Quiz 1</t>
  </si>
  <si>
    <t>Quiz 2</t>
  </si>
  <si>
    <t>Quiz 3</t>
  </si>
  <si>
    <t>Quiz 4</t>
  </si>
  <si>
    <t>Quiz 5</t>
  </si>
  <si>
    <t>Quiz 6</t>
  </si>
  <si>
    <t>Quiz 7</t>
  </si>
  <si>
    <t>Quiz 8</t>
  </si>
  <si>
    <t>Quiz 9</t>
  </si>
  <si>
    <t>Quizzes (10 pts each)</t>
  </si>
  <si>
    <t>Project design - graphing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</si>
</sst>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4">
    <font>
      <sz val="12"/>
      <color theme="1"/>
      <name val="ArialMT"/>
      <family val="2"/>
    </font>
    <font>
      <sz val="8"/>
      <name val="ArialMT"/>
      <family val="2"/>
    </font>
    <font>
      <b/>
      <sz val="12"/>
      <color theme="1"/>
      <name val="ArialMT"/>
    </font>
    <font>
      <sz val="12"/>
      <color theme="1"/>
      <name val="ArialMT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164" fontId="0" fillId="0" borderId="0" xfId="0" applyNumberFormat="1"/>
    <xf numFmtId="0" fontId="0" fillId="0" borderId="1" xfId="0" applyBorder="1"/>
    <xf numFmtId="164" fontId="0" fillId="0" borderId="1" xfId="0" applyNumberFormat="1" applyBorder="1"/>
    <xf numFmtId="0" fontId="2" fillId="2" borderId="1" xfId="0" applyFont="1" applyFill="1" applyBorder="1"/>
    <xf numFmtId="164" fontId="2" fillId="2" borderId="1" xfId="0" applyNumberFormat="1" applyFont="1" applyFill="1" applyBorder="1"/>
    <xf numFmtId="0" fontId="0" fillId="0" borderId="0" xfId="0" applyBorder="1"/>
    <xf numFmtId="164" fontId="0" fillId="0" borderId="0" xfId="0" applyNumberFormat="1" applyBorder="1"/>
    <xf numFmtId="0" fontId="2" fillId="0" borderId="0" xfId="0" applyFont="1" applyBorder="1"/>
    <xf numFmtId="0" fontId="0" fillId="0" borderId="0" xfId="0" applyFill="1" applyBorder="1"/>
    <xf numFmtId="0" fontId="0" fillId="0" borderId="0" xfId="0" applyFill="1"/>
    <xf numFmtId="0" fontId="2" fillId="0" borderId="0" xfId="0" applyFont="1" applyFill="1" applyBorder="1"/>
    <xf numFmtId="0" fontId="3" fillId="0" borderId="0" xfId="0" applyFont="1" applyFill="1" applyBorder="1"/>
    <xf numFmtId="0" fontId="3" fillId="0" borderId="0" xfId="0" applyFont="1" applyBorder="1"/>
    <xf numFmtId="0" fontId="2" fillId="0" borderId="0" xfId="0" applyFont="1" applyBorder="1" applyAlignment="1">
      <alignment horizontal="left"/>
    </xf>
    <xf numFmtId="0" fontId="0" fillId="0" borderId="1" xfId="0" applyFill="1" applyBorder="1"/>
    <xf numFmtId="0" fontId="2" fillId="0" borderId="1" xfId="0" applyFont="1" applyFill="1" applyBorder="1"/>
    <xf numFmtId="164" fontId="0" fillId="0" borderId="1" xfId="0" applyNumberFormat="1" applyFill="1" applyBorder="1"/>
    <xf numFmtId="0" fontId="3" fillId="0" borderId="1" xfId="0" applyFont="1" applyFill="1" applyBorder="1"/>
    <xf numFmtId="164" fontId="2" fillId="0" borderId="1" xfId="0" applyNumberFormat="1" applyFont="1" applyFill="1" applyBorder="1"/>
    <xf numFmtId="0" fontId="0" fillId="2" borderId="1" xfId="0" applyFill="1" applyBorder="1"/>
    <xf numFmtId="164" fontId="0" fillId="2" borderId="1" xfId="0" applyNumberFormat="1" applyFill="1" applyBorder="1"/>
    <xf numFmtId="0" fontId="3" fillId="0" borderId="1" xfId="0" applyFont="1" applyBorder="1"/>
    <xf numFmtId="0" fontId="3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800ABB-550A-EE4C-B9D4-F43DE81AFA49}">
  <dimension ref="A1:J41"/>
  <sheetViews>
    <sheetView tabSelected="1" zoomScale="150" zoomScaleNormal="150" workbookViewId="0">
      <selection sqref="A1:F32"/>
    </sheetView>
  </sheetViews>
  <sheetFormatPr baseColWidth="10" defaultRowHeight="16"/>
  <cols>
    <col min="1" max="1" width="5.42578125" bestFit="1" customWidth="1"/>
    <col min="2" max="2" width="10.140625" style="1" bestFit="1" customWidth="1"/>
    <col min="3" max="3" width="4.140625" style="1" bestFit="1" customWidth="1"/>
    <col min="4" max="4" width="33.85546875" bestFit="1" customWidth="1"/>
    <col min="5" max="5" width="23.28515625" bestFit="1" customWidth="1"/>
    <col min="6" max="6" width="10" customWidth="1"/>
    <col min="9" max="9" width="24.7109375" customWidth="1"/>
  </cols>
  <sheetData>
    <row r="1" spans="1:10">
      <c r="A1" s="20" t="s">
        <v>0</v>
      </c>
      <c r="B1" s="21" t="s">
        <v>1</v>
      </c>
      <c r="C1" s="21" t="s">
        <v>4</v>
      </c>
      <c r="D1" s="20" t="s">
        <v>2</v>
      </c>
      <c r="E1" s="20" t="s">
        <v>3</v>
      </c>
      <c r="F1" s="20" t="s">
        <v>36</v>
      </c>
      <c r="I1" s="8" t="s">
        <v>7</v>
      </c>
      <c r="J1" s="11" t="s">
        <v>10</v>
      </c>
    </row>
    <row r="2" spans="1:10">
      <c r="A2" s="2">
        <v>1</v>
      </c>
      <c r="B2" s="3">
        <v>46266</v>
      </c>
      <c r="C2" s="3" t="s">
        <v>6</v>
      </c>
      <c r="D2" s="2" t="s">
        <v>13</v>
      </c>
      <c r="E2" s="2"/>
      <c r="F2" s="2"/>
      <c r="I2" s="6" t="s">
        <v>57</v>
      </c>
      <c r="J2" s="6">
        <v>90</v>
      </c>
    </row>
    <row r="3" spans="1:10">
      <c r="A3" s="2">
        <v>1</v>
      </c>
      <c r="B3" s="3">
        <f>B2+2</f>
        <v>46268</v>
      </c>
      <c r="C3" s="3" t="s">
        <v>5</v>
      </c>
      <c r="D3" s="2" t="s">
        <v>12</v>
      </c>
      <c r="E3" s="2"/>
      <c r="F3" s="2"/>
      <c r="I3" s="6" t="s">
        <v>37</v>
      </c>
      <c r="J3" s="6">
        <v>20</v>
      </c>
    </row>
    <row r="4" spans="1:10">
      <c r="A4" s="2">
        <v>2</v>
      </c>
      <c r="B4" s="3">
        <f>B3+5</f>
        <v>46273</v>
      </c>
      <c r="C4" s="3" t="s">
        <v>6</v>
      </c>
      <c r="D4" s="15" t="s">
        <v>17</v>
      </c>
      <c r="E4" s="2" t="s">
        <v>37</v>
      </c>
      <c r="F4" s="15" t="s">
        <v>48</v>
      </c>
      <c r="I4" s="6" t="s">
        <v>58</v>
      </c>
      <c r="J4" s="6">
        <v>20</v>
      </c>
    </row>
    <row r="5" spans="1:10">
      <c r="A5" s="2">
        <v>2</v>
      </c>
      <c r="B5" s="3">
        <f>B4+2</f>
        <v>46275</v>
      </c>
      <c r="C5" s="3" t="s">
        <v>5</v>
      </c>
      <c r="D5" s="15" t="s">
        <v>18</v>
      </c>
      <c r="E5" s="2" t="s">
        <v>58</v>
      </c>
      <c r="F5" s="2"/>
      <c r="I5" s="6" t="s">
        <v>38</v>
      </c>
      <c r="J5" s="6">
        <v>30</v>
      </c>
    </row>
    <row r="6" spans="1:10">
      <c r="A6" s="2">
        <v>3</v>
      </c>
      <c r="B6" s="3">
        <f>B5+5</f>
        <v>46280</v>
      </c>
      <c r="C6" s="3" t="s">
        <v>6</v>
      </c>
      <c r="D6" s="15" t="s">
        <v>19</v>
      </c>
      <c r="E6" s="2"/>
      <c r="F6" s="15" t="s">
        <v>49</v>
      </c>
      <c r="I6" s="6" t="s">
        <v>39</v>
      </c>
      <c r="J6" s="6">
        <v>20</v>
      </c>
    </row>
    <row r="7" spans="1:10">
      <c r="A7" s="2">
        <v>3</v>
      </c>
      <c r="B7" s="3">
        <f>B6+2</f>
        <v>46282</v>
      </c>
      <c r="C7" s="3" t="s">
        <v>5</v>
      </c>
      <c r="D7" s="15" t="s">
        <v>20</v>
      </c>
      <c r="E7" s="2" t="s">
        <v>38</v>
      </c>
      <c r="F7" s="2"/>
      <c r="I7" s="6" t="s">
        <v>40</v>
      </c>
      <c r="J7" s="6">
        <v>20</v>
      </c>
    </row>
    <row r="8" spans="1:10">
      <c r="A8" s="2">
        <v>4</v>
      </c>
      <c r="B8" s="3">
        <f>B7+5</f>
        <v>46287</v>
      </c>
      <c r="C8" s="3" t="s">
        <v>6</v>
      </c>
      <c r="D8" s="15" t="s">
        <v>21</v>
      </c>
      <c r="E8" s="15" t="s">
        <v>39</v>
      </c>
      <c r="F8" s="15" t="s">
        <v>50</v>
      </c>
      <c r="I8" s="6" t="s">
        <v>41</v>
      </c>
      <c r="J8" s="6">
        <v>30</v>
      </c>
    </row>
    <row r="9" spans="1:10">
      <c r="A9" s="2">
        <v>4</v>
      </c>
      <c r="B9" s="3">
        <f>B8+2</f>
        <v>46289</v>
      </c>
      <c r="C9" s="3" t="s">
        <v>5</v>
      </c>
      <c r="D9" s="15" t="s">
        <v>22</v>
      </c>
      <c r="E9" s="2"/>
      <c r="F9" s="2"/>
      <c r="I9" s="6" t="s">
        <v>25</v>
      </c>
      <c r="J9" s="6">
        <v>30</v>
      </c>
    </row>
    <row r="10" spans="1:10">
      <c r="A10" s="2">
        <v>5</v>
      </c>
      <c r="B10" s="3">
        <f>B9+5</f>
        <v>46294</v>
      </c>
      <c r="C10" s="3" t="s">
        <v>6</v>
      </c>
      <c r="D10" s="15" t="s">
        <v>23</v>
      </c>
      <c r="E10" s="15" t="s">
        <v>40</v>
      </c>
      <c r="F10" s="15" t="s">
        <v>51</v>
      </c>
      <c r="I10" s="6">
        <v>20</v>
      </c>
      <c r="J10" s="6">
        <v>30</v>
      </c>
    </row>
    <row r="11" spans="1:10">
      <c r="A11" s="2">
        <v>5</v>
      </c>
      <c r="B11" s="3">
        <f>B10+2</f>
        <v>46296</v>
      </c>
      <c r="C11" s="3" t="s">
        <v>5</v>
      </c>
      <c r="D11" s="15" t="s">
        <v>24</v>
      </c>
      <c r="E11" s="2"/>
      <c r="F11" s="2"/>
      <c r="I11" s="6" t="s">
        <v>43</v>
      </c>
      <c r="J11" s="9">
        <v>30</v>
      </c>
    </row>
    <row r="12" spans="1:10">
      <c r="A12" s="2">
        <v>6</v>
      </c>
      <c r="B12" s="3">
        <f>B11+5</f>
        <v>46301</v>
      </c>
      <c r="C12" s="3" t="s">
        <v>6</v>
      </c>
      <c r="D12" s="15" t="s">
        <v>25</v>
      </c>
      <c r="E12" s="2"/>
      <c r="F12" s="15" t="s">
        <v>52</v>
      </c>
      <c r="I12" s="6" t="s">
        <v>44</v>
      </c>
      <c r="J12" s="9">
        <v>20</v>
      </c>
    </row>
    <row r="13" spans="1:10">
      <c r="A13" s="2">
        <v>6</v>
      </c>
      <c r="B13" s="3">
        <f>B12+2</f>
        <v>46303</v>
      </c>
      <c r="C13" s="3" t="s">
        <v>5</v>
      </c>
      <c r="D13" s="15" t="s">
        <v>26</v>
      </c>
      <c r="E13" s="2" t="s">
        <v>41</v>
      </c>
      <c r="F13" s="2"/>
      <c r="I13" s="6" t="s">
        <v>45</v>
      </c>
      <c r="J13" s="9">
        <v>20</v>
      </c>
    </row>
    <row r="14" spans="1:10">
      <c r="A14" s="2">
        <v>7</v>
      </c>
      <c r="B14" s="3">
        <f>B13+5</f>
        <v>46308</v>
      </c>
      <c r="C14" s="3" t="s">
        <v>6</v>
      </c>
      <c r="D14" s="16" t="s">
        <v>29</v>
      </c>
      <c r="E14" s="2"/>
      <c r="F14" s="15" t="s">
        <v>53</v>
      </c>
      <c r="I14" s="6" t="s">
        <v>32</v>
      </c>
      <c r="J14" s="9">
        <v>20</v>
      </c>
    </row>
    <row r="15" spans="1:10">
      <c r="A15" s="15">
        <v>7</v>
      </c>
      <c r="B15" s="17">
        <f>B14+2</f>
        <v>46310</v>
      </c>
      <c r="C15" s="17" t="s">
        <v>5</v>
      </c>
      <c r="D15" s="15" t="s">
        <v>34</v>
      </c>
      <c r="E15" s="15" t="s">
        <v>25</v>
      </c>
      <c r="F15" s="2"/>
      <c r="G15" s="10"/>
      <c r="I15" s="6" t="s">
        <v>11</v>
      </c>
      <c r="J15" s="9">
        <v>20</v>
      </c>
    </row>
    <row r="16" spans="1:10">
      <c r="A16" s="15">
        <v>8</v>
      </c>
      <c r="B16" s="17">
        <f>B15+5</f>
        <v>46315</v>
      </c>
      <c r="C16" s="17" t="s">
        <v>6</v>
      </c>
      <c r="D16" s="15" t="s">
        <v>27</v>
      </c>
      <c r="E16" s="15"/>
      <c r="F16" s="15" t="s">
        <v>54</v>
      </c>
      <c r="G16" s="10"/>
      <c r="I16" s="6" t="s">
        <v>9</v>
      </c>
      <c r="J16" s="9">
        <v>100</v>
      </c>
    </row>
    <row r="17" spans="1:10">
      <c r="A17" s="16">
        <v>8</v>
      </c>
      <c r="B17" s="17">
        <f>B16+2</f>
        <v>46317</v>
      </c>
      <c r="C17" s="17" t="s">
        <v>5</v>
      </c>
      <c r="D17" s="18" t="s">
        <v>28</v>
      </c>
      <c r="E17" s="18" t="s">
        <v>42</v>
      </c>
      <c r="F17" s="2"/>
      <c r="G17" s="10"/>
      <c r="I17" s="6"/>
      <c r="J17" s="9"/>
    </row>
    <row r="18" spans="1:10">
      <c r="A18" s="16">
        <v>9</v>
      </c>
      <c r="B18" s="17">
        <f>B17+5</f>
        <v>46322</v>
      </c>
      <c r="C18" s="19" t="s">
        <v>6</v>
      </c>
      <c r="D18" s="18" t="s">
        <v>30</v>
      </c>
      <c r="E18" s="18" t="s">
        <v>43</v>
      </c>
      <c r="F18" s="2"/>
      <c r="G18" s="10"/>
      <c r="I18" s="14" t="s">
        <v>10</v>
      </c>
      <c r="J18" s="6">
        <f>SUM(J2:J17)</f>
        <v>500</v>
      </c>
    </row>
    <row r="19" spans="1:10">
      <c r="A19" s="20">
        <v>9</v>
      </c>
      <c r="B19" s="21">
        <f>B18+2</f>
        <v>46324</v>
      </c>
      <c r="C19" s="5" t="s">
        <v>5</v>
      </c>
      <c r="D19" s="4" t="s">
        <v>14</v>
      </c>
      <c r="E19" s="4"/>
      <c r="F19" s="4"/>
      <c r="G19" s="10"/>
      <c r="I19" s="6"/>
      <c r="J19" s="6"/>
    </row>
    <row r="20" spans="1:10">
      <c r="A20" s="15">
        <v>10</v>
      </c>
      <c r="B20" s="17">
        <f>B19+5</f>
        <v>46329</v>
      </c>
      <c r="C20" s="17" t="s">
        <v>6</v>
      </c>
      <c r="D20" s="22" t="s">
        <v>33</v>
      </c>
      <c r="E20" s="18"/>
      <c r="F20" s="15" t="s">
        <v>55</v>
      </c>
      <c r="G20" s="10"/>
      <c r="I20" s="6"/>
      <c r="J20" s="6"/>
    </row>
    <row r="21" spans="1:10">
      <c r="A21" s="15">
        <v>10</v>
      </c>
      <c r="B21" s="17">
        <f>B20+2</f>
        <v>46331</v>
      </c>
      <c r="C21" s="17" t="s">
        <v>5</v>
      </c>
      <c r="D21" s="22" t="s">
        <v>33</v>
      </c>
      <c r="E21" s="18" t="s">
        <v>44</v>
      </c>
      <c r="F21" s="2"/>
      <c r="G21" s="10"/>
      <c r="I21" s="6"/>
      <c r="J21" s="6"/>
    </row>
    <row r="22" spans="1:10">
      <c r="A22" s="2">
        <v>11</v>
      </c>
      <c r="B22" s="3">
        <f>B21+5</f>
        <v>46336</v>
      </c>
      <c r="C22" s="3" t="s">
        <v>6</v>
      </c>
      <c r="D22" s="18" t="s">
        <v>31</v>
      </c>
      <c r="E22" s="22"/>
      <c r="F22" s="22"/>
      <c r="I22" s="6"/>
      <c r="J22" s="6"/>
    </row>
    <row r="23" spans="1:10">
      <c r="A23" s="2">
        <v>11</v>
      </c>
      <c r="B23" s="3">
        <f>B22+2</f>
        <v>46338</v>
      </c>
      <c r="C23" s="3" t="s">
        <v>5</v>
      </c>
      <c r="D23" s="18"/>
      <c r="E23" s="22"/>
      <c r="F23" s="22"/>
    </row>
    <row r="24" spans="1:10">
      <c r="A24" s="2">
        <v>12</v>
      </c>
      <c r="B24" s="3">
        <f>B23+5</f>
        <v>46343</v>
      </c>
      <c r="C24" s="3" t="s">
        <v>6</v>
      </c>
      <c r="D24" s="18" t="s">
        <v>32</v>
      </c>
      <c r="E24" s="22" t="s">
        <v>45</v>
      </c>
      <c r="F24" s="15" t="s">
        <v>56</v>
      </c>
    </row>
    <row r="25" spans="1:10">
      <c r="A25" s="2">
        <v>12</v>
      </c>
      <c r="B25" s="3">
        <f>B24+2</f>
        <v>46345</v>
      </c>
      <c r="C25" s="3" t="s">
        <v>5</v>
      </c>
      <c r="D25" s="22"/>
      <c r="E25" s="22"/>
      <c r="F25" s="22"/>
    </row>
    <row r="26" spans="1:10">
      <c r="A26" s="2">
        <v>13</v>
      </c>
      <c r="B26" s="3">
        <f>B25+5</f>
        <v>46350</v>
      </c>
      <c r="C26" s="3" t="s">
        <v>6</v>
      </c>
      <c r="D26" s="18" t="s">
        <v>47</v>
      </c>
      <c r="E26" s="22" t="s">
        <v>32</v>
      </c>
      <c r="F26" s="22"/>
    </row>
    <row r="27" spans="1:10">
      <c r="A27" s="20">
        <v>13</v>
      </c>
      <c r="B27" s="21">
        <f>B26+2</f>
        <v>46352</v>
      </c>
      <c r="C27" s="21" t="s">
        <v>5</v>
      </c>
      <c r="D27" s="4" t="s">
        <v>15</v>
      </c>
      <c r="E27" s="23"/>
      <c r="F27" s="23"/>
    </row>
    <row r="28" spans="1:10">
      <c r="A28" s="2">
        <v>14</v>
      </c>
      <c r="B28" s="3">
        <f>B27+5</f>
        <v>46357</v>
      </c>
      <c r="C28" s="3" t="s">
        <v>6</v>
      </c>
      <c r="D28" s="22"/>
      <c r="E28" s="22"/>
      <c r="F28" s="22"/>
    </row>
    <row r="29" spans="1:10">
      <c r="A29" s="2">
        <v>14</v>
      </c>
      <c r="B29" s="3">
        <f>B28+2</f>
        <v>46359</v>
      </c>
      <c r="C29" s="3" t="s">
        <v>5</v>
      </c>
      <c r="D29" s="22"/>
      <c r="E29" s="22"/>
      <c r="F29" s="22"/>
    </row>
    <row r="30" spans="1:10">
      <c r="A30" s="2">
        <v>15</v>
      </c>
      <c r="B30" s="3">
        <f>B29+5</f>
        <v>46364</v>
      </c>
      <c r="C30" s="3" t="s">
        <v>6</v>
      </c>
      <c r="D30" s="22" t="s">
        <v>35</v>
      </c>
      <c r="E30" s="22"/>
      <c r="F30" s="22"/>
      <c r="I30" s="6"/>
    </row>
    <row r="31" spans="1:10">
      <c r="A31" s="2">
        <v>15</v>
      </c>
      <c r="B31" s="3">
        <f>B30+2</f>
        <v>46366</v>
      </c>
      <c r="C31" s="3" t="s">
        <v>5</v>
      </c>
      <c r="D31" s="22" t="s">
        <v>35</v>
      </c>
      <c r="E31" s="22" t="s">
        <v>46</v>
      </c>
      <c r="F31" s="22"/>
      <c r="I31" s="6"/>
    </row>
    <row r="32" spans="1:10">
      <c r="A32" s="2"/>
      <c r="B32" s="3"/>
      <c r="C32" s="3"/>
      <c r="D32" s="22" t="s">
        <v>16</v>
      </c>
      <c r="E32" s="22"/>
      <c r="F32" s="22"/>
      <c r="I32" s="6"/>
    </row>
    <row r="33" spans="1:9">
      <c r="A33" s="6"/>
      <c r="B33" s="7"/>
      <c r="C33" s="7"/>
      <c r="D33" s="8"/>
      <c r="E33" s="6"/>
      <c r="F33" s="6"/>
      <c r="I33" s="9"/>
    </row>
    <row r="34" spans="1:9">
      <c r="A34" s="6"/>
      <c r="B34" s="7"/>
      <c r="C34" s="7"/>
      <c r="D34" s="6"/>
      <c r="E34" s="6"/>
      <c r="F34" s="6"/>
      <c r="I34" s="9"/>
    </row>
    <row r="35" spans="1:9">
      <c r="A35" s="6"/>
      <c r="B35" s="7"/>
      <c r="C35" s="7"/>
      <c r="D35" s="6"/>
      <c r="E35" s="6"/>
      <c r="F35" s="6"/>
      <c r="I35" s="6"/>
    </row>
    <row r="36" spans="1:9">
      <c r="A36" s="6"/>
      <c r="B36" s="7"/>
      <c r="C36" s="7"/>
      <c r="D36" s="6"/>
      <c r="E36" s="6"/>
      <c r="F36" s="6"/>
      <c r="I36" s="9"/>
    </row>
    <row r="37" spans="1:9">
      <c r="A37" s="6"/>
      <c r="B37" s="7"/>
      <c r="C37" s="7"/>
      <c r="D37" s="6"/>
      <c r="E37" s="6"/>
      <c r="F37" s="6"/>
      <c r="I37" s="12"/>
    </row>
    <row r="38" spans="1:9">
      <c r="A38" s="6"/>
      <c r="B38" s="7"/>
      <c r="C38" s="7"/>
      <c r="D38" s="6"/>
      <c r="E38" s="6"/>
      <c r="F38" s="6"/>
      <c r="I38" s="12"/>
    </row>
    <row r="39" spans="1:9">
      <c r="A39" s="6"/>
      <c r="B39" s="7"/>
      <c r="C39" s="7"/>
      <c r="D39" s="6"/>
      <c r="E39" s="6"/>
      <c r="F39" s="6"/>
      <c r="I39" s="12"/>
    </row>
    <row r="40" spans="1:9">
      <c r="I40" s="13"/>
    </row>
    <row r="41" spans="1:9">
      <c r="I41" s="13"/>
    </row>
  </sheetData>
  <phoneticPr fontId="1" type="noConversion"/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E1BBE7-BFC7-A544-993B-4DD65B6BAF5E}">
  <dimension ref="A1:B1"/>
  <sheetViews>
    <sheetView workbookViewId="0">
      <selection sqref="A1:C18"/>
    </sheetView>
  </sheetViews>
  <sheetFormatPr baseColWidth="10" defaultRowHeight="16"/>
  <cols>
    <col min="1" max="1" width="21.28515625" customWidth="1"/>
    <col min="2" max="2" width="5.85546875" bestFit="1" customWidth="1"/>
  </cols>
  <sheetData>
    <row r="1" spans="1:2">
      <c r="A1" t="s">
        <v>7</v>
      </c>
      <c r="B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schedule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L Perry</dc:creator>
  <cp:lastModifiedBy>Bill Perry</cp:lastModifiedBy>
  <dcterms:created xsi:type="dcterms:W3CDTF">2025-12-18T16:20:34Z</dcterms:created>
  <dcterms:modified xsi:type="dcterms:W3CDTF">2026-08-28T17:18:11Z</dcterms:modified>
</cp:coreProperties>
</file>